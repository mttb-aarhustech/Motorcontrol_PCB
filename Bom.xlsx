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staarhustech-my.sharepoint.com/personal/mttb_aarhustech_dk/Documents/Dokumenter/!Proj Svendeprøve/Motor Styring/KiCad/Motorcontrol_PCB/"/>
    </mc:Choice>
  </mc:AlternateContent>
  <xr:revisionPtr revIDLastSave="7" documentId="13_ncr:1_{2D8E87CF-7937-4B28-9774-349BF069D439}" xr6:coauthVersionLast="47" xr6:coauthVersionMax="47" xr10:uidLastSave="{385C476A-CF6B-4484-A9B1-70C264C3616E}"/>
  <bookViews>
    <workbookView xWindow="-120" yWindow="-120" windowWidth="29040" windowHeight="15720" xr2:uid="{401BF44A-3428-4A7B-AC22-22EE5F407A1A}"/>
  </bookViews>
  <sheets>
    <sheet name="BOM" sheetId="2" r:id="rId1"/>
    <sheet name="Sheet1" sheetId="1" r:id="rId2"/>
  </sheets>
  <definedNames>
    <definedName name="ExternalData_1" localSheetId="0" hidden="1">BOM!$A$1:$E$51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D10" i="1"/>
  <c r="D9" i="1"/>
  <c r="B10" i="1"/>
  <c r="A10" i="1"/>
  <c r="A9" i="1"/>
  <c r="H12" i="1"/>
  <c r="G12" i="1"/>
  <c r="G11" i="1"/>
  <c r="E12" i="1"/>
  <c r="D12" i="1"/>
  <c r="D11" i="1"/>
  <c r="B12" i="1"/>
  <c r="A12" i="1"/>
  <c r="A11" i="1"/>
  <c r="H10" i="1"/>
  <c r="G10" i="1"/>
  <c r="G9" i="1"/>
  <c r="H8" i="1"/>
  <c r="G8" i="1"/>
  <c r="I7" i="1"/>
  <c r="G7" i="1"/>
  <c r="E8" i="1"/>
  <c r="D8" i="1"/>
  <c r="F7" i="1"/>
  <c r="D7" i="1"/>
  <c r="B8" i="1"/>
  <c r="A8" i="1"/>
  <c r="C7" i="1"/>
  <c r="A7" i="1"/>
  <c r="I5" i="1"/>
  <c r="H6" i="1"/>
  <c r="G6" i="1"/>
  <c r="G5" i="1"/>
  <c r="E6" i="1"/>
  <c r="D6" i="1"/>
  <c r="F5" i="1"/>
  <c r="C5" i="1"/>
  <c r="B6" i="1"/>
  <c r="A6" i="1"/>
  <c r="A5" i="1"/>
  <c r="H4" i="1"/>
  <c r="G4" i="1"/>
  <c r="I3" i="1"/>
  <c r="G3" i="1"/>
  <c r="E4" i="1"/>
  <c r="D4" i="1"/>
  <c r="F3" i="1"/>
  <c r="D3" i="1"/>
  <c r="B4" i="1"/>
  <c r="A4" i="1"/>
  <c r="C3" i="1"/>
  <c r="A3" i="1"/>
  <c r="H2" i="1"/>
  <c r="G2" i="1"/>
  <c r="I1" i="1"/>
  <c r="G1" i="1"/>
  <c r="F1" i="1"/>
  <c r="E2" i="1"/>
  <c r="D2" i="1"/>
  <c r="D1" i="1"/>
  <c r="A1" i="1"/>
  <c r="C1" i="1"/>
  <c r="B2" i="1"/>
  <c r="A2" i="1"/>
  <c r="F6" i="2"/>
  <c r="F7" i="2"/>
  <c r="F37" i="2"/>
  <c r="F32" i="2"/>
  <c r="F38" i="2"/>
  <c r="F44" i="2"/>
  <c r="F33" i="2"/>
  <c r="F39" i="2"/>
  <c r="F43" i="2"/>
  <c r="F8" i="2"/>
  <c r="F34" i="2"/>
  <c r="F9" i="2"/>
  <c r="F10" i="2"/>
  <c r="F11" i="2"/>
  <c r="F35" i="2"/>
  <c r="F12" i="2"/>
  <c r="F13" i="2"/>
  <c r="F40" i="2"/>
  <c r="F41" i="2"/>
  <c r="F14" i="2"/>
  <c r="F15" i="2"/>
  <c r="F16" i="2"/>
  <c r="F17" i="2"/>
  <c r="F18" i="2"/>
  <c r="F19" i="2"/>
  <c r="F20" i="2"/>
  <c r="F21" i="2"/>
  <c r="F22" i="2"/>
  <c r="F23" i="2"/>
  <c r="F24" i="2"/>
  <c r="F25" i="2"/>
  <c r="F36" i="2"/>
  <c r="F26" i="2"/>
  <c r="F27" i="2"/>
  <c r="F28" i="2"/>
  <c r="F29" i="2"/>
  <c r="F30" i="2"/>
  <c r="F31" i="2"/>
  <c r="F4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E34081-2A90-4A40-BAC8-69866596D12D}" keepAlive="1" name="Query - BOM" description="Connection to the 'BOM' query in the workbook." type="5" refreshedVersion="8" background="1" saveData="1">
    <dbPr connection="Provider=Microsoft.Mashup.OleDb.1;Data Source=$Workbook$;Location=BOM;Extended Properties=&quot;&quot;" command="SELECT * FROM [BOM]"/>
  </connection>
</connections>
</file>

<file path=xl/sharedStrings.xml><?xml version="1.0" encoding="utf-8"?>
<sst xmlns="http://schemas.openxmlformats.org/spreadsheetml/2006/main" count="212" uniqueCount="150">
  <si>
    <t>Reference</t>
  </si>
  <si>
    <t>Value</t>
  </si>
  <si>
    <t>Qty</t>
  </si>
  <si>
    <t>Supplier</t>
  </si>
  <si>
    <t>Part number</t>
  </si>
  <si>
    <t>C110,C120</t>
  </si>
  <si>
    <t>2.2uF</t>
  </si>
  <si>
    <t>Farnell</t>
  </si>
  <si>
    <t>8766797</t>
  </si>
  <si>
    <t>C250,C300,C310,C311,C312,C400,C401,C411,C903,C904,C906,C907</t>
  </si>
  <si>
    <t>100nF</t>
  </si>
  <si>
    <t>RS</t>
  </si>
  <si>
    <t>135-8304</t>
  </si>
  <si>
    <t>C410</t>
  </si>
  <si>
    <t>470nF</t>
  </si>
  <si>
    <t>172-5820</t>
  </si>
  <si>
    <t>C900</t>
  </si>
  <si>
    <t>220uF</t>
  </si>
  <si>
    <t>3254121</t>
  </si>
  <si>
    <t>C901,C902</t>
  </si>
  <si>
    <t>10uF</t>
  </si>
  <si>
    <t>2901339</t>
  </si>
  <si>
    <t>C905</t>
  </si>
  <si>
    <t>10nF</t>
  </si>
  <si>
    <t>134-5708</t>
  </si>
  <si>
    <t>D110,D120,D900,D901</t>
  </si>
  <si>
    <t>1N4148</t>
  </si>
  <si>
    <t>Cypax</t>
  </si>
  <si>
    <t>00.001.4148</t>
  </si>
  <si>
    <t>DS300</t>
  </si>
  <si>
    <t>WC1602A</t>
  </si>
  <si>
    <t>1218634</t>
  </si>
  <si>
    <t>F1</t>
  </si>
  <si>
    <t>Fuse</t>
  </si>
  <si>
    <t>18.099.0078.10</t>
  </si>
  <si>
    <t>J1,J4,J5,J6</t>
  </si>
  <si>
    <t>Conn_01x02_Socket</t>
  </si>
  <si>
    <t>252-5139</t>
  </si>
  <si>
    <t>J400</t>
  </si>
  <si>
    <t>Conn_01x05_Socket</t>
  </si>
  <si>
    <t>233-9362</t>
  </si>
  <si>
    <t>J401</t>
  </si>
  <si>
    <t>Conn_01x04_Socket</t>
  </si>
  <si>
    <t>233-9354</t>
  </si>
  <si>
    <t>J410</t>
  </si>
  <si>
    <t>Conn_01x06_Pin</t>
  </si>
  <si>
    <t>-</t>
  </si>
  <si>
    <t>J411</t>
  </si>
  <si>
    <t>USB_B</t>
  </si>
  <si>
    <t>1076666</t>
  </si>
  <si>
    <t>L410</t>
  </si>
  <si>
    <t>467-3315</t>
  </si>
  <si>
    <t>Q110,Q120,Q130,Q140</t>
  </si>
  <si>
    <t>IRLZ44N</t>
  </si>
  <si>
    <t>8651418</t>
  </si>
  <si>
    <t>Q111,Q113,Q121,Q123,Q132,Q142</t>
  </si>
  <si>
    <t>BC557</t>
  </si>
  <si>
    <t>01.020.0557</t>
  </si>
  <si>
    <t>Q112,Q122,Q131,Q141,Q210,Q220,Q230,Q240</t>
  </si>
  <si>
    <t>BC547</t>
  </si>
  <si>
    <t>01.020.0547</t>
  </si>
  <si>
    <t>1574381</t>
  </si>
  <si>
    <t>R000</t>
  </si>
  <si>
    <t>0R20</t>
  </si>
  <si>
    <t>846-9836</t>
  </si>
  <si>
    <t>R110,R120,R130,R140</t>
  </si>
  <si>
    <t>10R</t>
  </si>
  <si>
    <t>05.000.0210</t>
  </si>
  <si>
    <t>R111,R121</t>
  </si>
  <si>
    <t>47k</t>
  </si>
  <si>
    <t>05.000.0547</t>
  </si>
  <si>
    <t>R112,R122,R132,R142</t>
  </si>
  <si>
    <t>05.000.0315</t>
  </si>
  <si>
    <t>R113,R114,R123,R124,R133,R143,R212,R222,R232,R242,R250,R313,R314,R315</t>
  </si>
  <si>
    <t>1k</t>
  </si>
  <si>
    <t xml:space="preserve">05.000.0410 </t>
  </si>
  <si>
    <t>R131,R141</t>
  </si>
  <si>
    <t>270k</t>
  </si>
  <si>
    <t>05.000.0627</t>
  </si>
  <si>
    <t>R210,R220,R230,R240</t>
  </si>
  <si>
    <t>180</t>
  </si>
  <si>
    <t>05.000.0318</t>
  </si>
  <si>
    <t>R211,R221,R231,R241,R251,R300,R310,R311,R312,R400,R401,R402,R410</t>
  </si>
  <si>
    <t>10k</t>
  </si>
  <si>
    <t xml:space="preserve">05.000.0510 </t>
  </si>
  <si>
    <t>R301</t>
  </si>
  <si>
    <t>20k</t>
  </si>
  <si>
    <t>167-3259</t>
  </si>
  <si>
    <t>R403</t>
  </si>
  <si>
    <t>100R</t>
  </si>
  <si>
    <t>R900,R903</t>
  </si>
  <si>
    <t>3k3</t>
  </si>
  <si>
    <t>05.000.0433</t>
  </si>
  <si>
    <t>R901</t>
  </si>
  <si>
    <t>390</t>
  </si>
  <si>
    <t>05.000.0339</t>
  </si>
  <si>
    <t>R902</t>
  </si>
  <si>
    <t>68R</t>
  </si>
  <si>
    <t xml:space="preserve">05.000.0268 </t>
  </si>
  <si>
    <t>SW310</t>
  </si>
  <si>
    <t>RotaryEncoder_Switch_MP</t>
  </si>
  <si>
    <t>781-6830</t>
  </si>
  <si>
    <t>U210,U220,U230,U240</t>
  </si>
  <si>
    <t>4N35</t>
  </si>
  <si>
    <t>1021351</t>
  </si>
  <si>
    <t>U300</t>
  </si>
  <si>
    <t>74AHC595</t>
  </si>
  <si>
    <t>100-0763</t>
  </si>
  <si>
    <t>U400</t>
  </si>
  <si>
    <t>PIC18F27Q43-xSP</t>
  </si>
  <si>
    <t>3052751</t>
  </si>
  <si>
    <t>236-8940</t>
  </si>
  <si>
    <t>U410</t>
  </si>
  <si>
    <t>MCP2221AxP</t>
  </si>
  <si>
    <t>2678459</t>
  </si>
  <si>
    <t>171-7757</t>
  </si>
  <si>
    <t>U900</t>
  </si>
  <si>
    <t>LM317</t>
  </si>
  <si>
    <t>168-8786</t>
  </si>
  <si>
    <t>U901</t>
  </si>
  <si>
    <t>L78L05</t>
  </si>
  <si>
    <t>885-5423</t>
  </si>
  <si>
    <t>U902</t>
  </si>
  <si>
    <t>HCPL7510</t>
  </si>
  <si>
    <t>1085055</t>
  </si>
  <si>
    <t/>
  </si>
  <si>
    <t>Conn_01x02_Plug</t>
  </si>
  <si>
    <t>252-5148</t>
  </si>
  <si>
    <t>Conn_01x04_Plug</t>
  </si>
  <si>
    <t>252-5150</t>
  </si>
  <si>
    <t>Conn_01x06_Socket</t>
  </si>
  <si>
    <t>252-5144</t>
  </si>
  <si>
    <t>Dil socket 28 pin</t>
  </si>
  <si>
    <t>Dil socket 16 pin</t>
  </si>
  <si>
    <t>Dil socket 14 pin</t>
  </si>
  <si>
    <t>Dil socket 8 pin</t>
  </si>
  <si>
    <t>Dil socket 6 pin</t>
  </si>
  <si>
    <t>702-0657</t>
  </si>
  <si>
    <t>183-1560</t>
  </si>
  <si>
    <t>183-1562</t>
  </si>
  <si>
    <t>183-1561</t>
  </si>
  <si>
    <t>183-1570</t>
  </si>
  <si>
    <t>~12</t>
  </si>
  <si>
    <t>Column1</t>
  </si>
  <si>
    <t>Ferrite_Small</t>
  </si>
  <si>
    <t>Conn_01x05 Socket</t>
  </si>
  <si>
    <t>Conn_01x04 Socket</t>
  </si>
  <si>
    <t>Ferrite Small</t>
  </si>
  <si>
    <t>Rotary Encoder</t>
  </si>
  <si>
    <t>150R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</si>
</sst>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D799EB1-977B-4607-B995-4CCDE995C964}" autoFormatId="16" applyNumberFormats="0" applyBorderFormats="0" applyFontFormats="0" applyPatternFormats="0" applyAlignmentFormats="0" applyWidthHeightFormats="0">
  <queryTableRefresh nextId="8" unboundColumnsRight="1">
    <queryTableFields count="6">
      <queryTableField id="1" name="Reference" tableColumnId="1"/>
      <queryTableField id="2" name="Value" tableColumnId="2"/>
      <queryTableField id="3" name="Qty" tableColumnId="3"/>
      <queryTableField id="5" name="Supplier" tableColumnId="5"/>
      <queryTableField id="6" name="Part number" tableColumnId="6"/>
      <queryTableField id="7" dataBound="0" tableColumnId="7"/>
    </queryTableFields>
    <queryTableDeletedFields count="1">
      <deletedField name="Real Qty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702D4E-D911-475E-92F1-CEB23ED224C8}" name="BOM" displayName="BOM" ref="A1:F51" tableType="queryTable" totalsRowShown="0">
  <autoFilter ref="A1:F51" xr:uid="{A3702D4E-D911-475E-92F1-CEB23ED224C8}"/>
  <sortState xmlns:xlrd2="http://schemas.microsoft.com/office/spreadsheetml/2017/richdata2" ref="A2:F51">
    <sortCondition ref="F1:F51"/>
  </sortState>
  <tableColumns count="6">
    <tableColumn id="1" xr3:uid="{796D7178-6F04-4724-A03F-5F2F2269C04D}" uniqueName="1" name="Reference" queryTableFieldId="1" dataDxfId="5"/>
    <tableColumn id="2" xr3:uid="{BB38AE2A-E6C1-4D68-A22C-77593A8A8154}" uniqueName="2" name="Value" queryTableFieldId="2" dataDxfId="4"/>
    <tableColumn id="3" xr3:uid="{5EFA74F0-C9E7-4663-91AA-83391E5F1A44}" uniqueName="3" name="Qty" queryTableFieldId="3" dataDxfId="3"/>
    <tableColumn id="5" xr3:uid="{8626B43A-85EB-40F8-A6C3-365BA13F89EF}" uniqueName="5" name="Supplier" queryTableFieldId="5" dataDxfId="2"/>
    <tableColumn id="6" xr3:uid="{EB4BA259-304F-4064-B83C-44A13C840C6D}" uniqueName="6" name="Part number" queryTableFieldId="6" dataDxfId="1"/>
    <tableColumn id="7" xr3:uid="{22594075-8A79-4441-9538-7951E73771B3}" uniqueName="7" name="Column1" queryTableFieldId="7" dataDxfId="0">
      <calculatedColumnFormula>IFERROR(BOM[[#This Row],[Qty]]*15,0)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0741C-4789-4E29-BDED-5DB50EA2CC06}">
  <dimension ref="A1:F51"/>
  <sheetViews>
    <sheetView tabSelected="1" workbookViewId="0">
      <selection activeCell="F5" sqref="A2:F5"/>
    </sheetView>
  </sheetViews>
  <sheetFormatPr defaultRowHeight="15" x14ac:dyDescent="0.25"/>
  <cols>
    <col min="1" max="1" width="68.42578125" bestFit="1" customWidth="1"/>
    <col min="2" max="2" width="24.28515625" bestFit="1" customWidth="1"/>
    <col min="3" max="3" width="6.42578125" style="1" bestFit="1" customWidth="1"/>
    <col min="4" max="4" width="10.85546875" bestFit="1" customWidth="1"/>
    <col min="5" max="5" width="14.28515625" bestFit="1" customWidth="1"/>
  </cols>
  <sheetData>
    <row r="1" spans="1:6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143</v>
      </c>
    </row>
    <row r="2" spans="1:6" x14ac:dyDescent="0.25">
      <c r="A2" t="s">
        <v>55</v>
      </c>
      <c r="B2" t="s">
        <v>56</v>
      </c>
      <c r="C2" s="1">
        <v>6</v>
      </c>
      <c r="D2" t="s">
        <v>27</v>
      </c>
      <c r="E2" t="s">
        <v>57</v>
      </c>
      <c r="F2">
        <v>1</v>
      </c>
    </row>
    <row r="3" spans="1:6" x14ac:dyDescent="0.25">
      <c r="A3" t="s">
        <v>58</v>
      </c>
      <c r="B3" t="s">
        <v>59</v>
      </c>
      <c r="C3" s="1">
        <v>8</v>
      </c>
      <c r="D3" t="s">
        <v>7</v>
      </c>
      <c r="E3" t="s">
        <v>61</v>
      </c>
      <c r="F3">
        <v>2</v>
      </c>
    </row>
    <row r="4" spans="1:6" x14ac:dyDescent="0.25">
      <c r="A4" t="s">
        <v>119</v>
      </c>
      <c r="B4" t="s">
        <v>120</v>
      </c>
      <c r="C4" s="1">
        <v>1</v>
      </c>
      <c r="D4" t="s">
        <v>11</v>
      </c>
      <c r="E4" t="s">
        <v>121</v>
      </c>
      <c r="F4">
        <v>3</v>
      </c>
    </row>
    <row r="5" spans="1:6" x14ac:dyDescent="0.25">
      <c r="A5" t="s">
        <v>5</v>
      </c>
      <c r="B5" t="s">
        <v>6</v>
      </c>
      <c r="C5" s="1">
        <v>2</v>
      </c>
      <c r="D5" t="s">
        <v>7</v>
      </c>
      <c r="E5" t="s">
        <v>8</v>
      </c>
      <c r="F5">
        <v>4</v>
      </c>
    </row>
    <row r="6" spans="1:6" x14ac:dyDescent="0.25">
      <c r="A6" t="s">
        <v>44</v>
      </c>
      <c r="B6" t="s">
        <v>45</v>
      </c>
      <c r="C6" s="1">
        <v>1</v>
      </c>
      <c r="D6" t="s">
        <v>46</v>
      </c>
      <c r="E6" t="s">
        <v>46</v>
      </c>
      <c r="F6">
        <f>IFERROR(BOM[[#This Row],[Qty]]*15,0)</f>
        <v>15</v>
      </c>
    </row>
    <row r="7" spans="1:6" x14ac:dyDescent="0.25">
      <c r="A7" t="s">
        <v>32</v>
      </c>
      <c r="B7" t="s">
        <v>33</v>
      </c>
      <c r="C7" s="1">
        <v>1</v>
      </c>
      <c r="D7" t="s">
        <v>27</v>
      </c>
      <c r="E7" t="s">
        <v>34</v>
      </c>
      <c r="F7">
        <f>IFERROR(BOM[[#This Row],[Qty]]*15,0)</f>
        <v>15</v>
      </c>
    </row>
    <row r="8" spans="1:6" x14ac:dyDescent="0.25">
      <c r="A8" t="s">
        <v>88</v>
      </c>
      <c r="B8" t="s">
        <v>89</v>
      </c>
      <c r="C8" s="1">
        <v>1</v>
      </c>
      <c r="D8" t="s">
        <v>27</v>
      </c>
      <c r="E8" t="s">
        <v>84</v>
      </c>
      <c r="F8">
        <f>IFERROR(BOM[[#This Row],[Qty]]*15,0)</f>
        <v>15</v>
      </c>
    </row>
    <row r="9" spans="1:6" x14ac:dyDescent="0.25">
      <c r="A9" t="s">
        <v>93</v>
      </c>
      <c r="B9" t="s">
        <v>94</v>
      </c>
      <c r="C9" s="1">
        <v>1</v>
      </c>
      <c r="D9" t="s">
        <v>27</v>
      </c>
      <c r="E9" t="s">
        <v>95</v>
      </c>
      <c r="F9">
        <f>IFERROR(BOM[[#This Row],[Qty]]*15,0)</f>
        <v>15</v>
      </c>
    </row>
    <row r="10" spans="1:6" x14ac:dyDescent="0.25">
      <c r="A10" t="s">
        <v>96</v>
      </c>
      <c r="B10" t="s">
        <v>97</v>
      </c>
      <c r="C10" s="1">
        <v>1</v>
      </c>
      <c r="D10" t="s">
        <v>27</v>
      </c>
      <c r="E10" t="s">
        <v>98</v>
      </c>
      <c r="F10">
        <f>IFERROR(BOM[[#This Row],[Qty]]*15,0)</f>
        <v>15</v>
      </c>
    </row>
    <row r="11" spans="1:6" x14ac:dyDescent="0.25">
      <c r="A11" t="s">
        <v>16</v>
      </c>
      <c r="B11" t="s">
        <v>17</v>
      </c>
      <c r="C11" s="1">
        <v>1</v>
      </c>
      <c r="D11" t="s">
        <v>7</v>
      </c>
      <c r="E11" t="s">
        <v>18</v>
      </c>
      <c r="F11">
        <f>IFERROR(BOM[[#This Row],[Qty]]*15,0)</f>
        <v>15</v>
      </c>
    </row>
    <row r="12" spans="1:6" x14ac:dyDescent="0.25">
      <c r="A12" t="s">
        <v>29</v>
      </c>
      <c r="B12" t="s">
        <v>30</v>
      </c>
      <c r="C12" s="1">
        <v>1</v>
      </c>
      <c r="D12" t="s">
        <v>7</v>
      </c>
      <c r="E12" t="s">
        <v>31</v>
      </c>
      <c r="F12">
        <f>IFERROR(BOM[[#This Row],[Qty]]*15,0)</f>
        <v>15</v>
      </c>
    </row>
    <row r="13" spans="1:6" x14ac:dyDescent="0.25">
      <c r="A13" t="s">
        <v>47</v>
      </c>
      <c r="B13" t="s">
        <v>48</v>
      </c>
      <c r="C13" s="1">
        <v>1</v>
      </c>
      <c r="D13" t="s">
        <v>7</v>
      </c>
      <c r="E13" t="s">
        <v>49</v>
      </c>
      <c r="F13">
        <f>IFERROR(BOM[[#This Row],[Qty]]*15,0)</f>
        <v>15</v>
      </c>
    </row>
    <row r="14" spans="1:6" x14ac:dyDescent="0.25">
      <c r="A14" t="s">
        <v>112</v>
      </c>
      <c r="B14" t="s">
        <v>113</v>
      </c>
      <c r="C14" s="1">
        <v>1</v>
      </c>
      <c r="D14" t="s">
        <v>7</v>
      </c>
      <c r="E14" t="s">
        <v>114</v>
      </c>
      <c r="F14">
        <f>IFERROR(BOM[[#This Row],[Qty]]*15,0)</f>
        <v>15</v>
      </c>
    </row>
    <row r="15" spans="1:6" x14ac:dyDescent="0.25">
      <c r="A15" t="s">
        <v>122</v>
      </c>
      <c r="B15" t="s">
        <v>123</v>
      </c>
      <c r="C15" s="1">
        <v>1</v>
      </c>
      <c r="D15" t="s">
        <v>7</v>
      </c>
      <c r="E15" t="s">
        <v>124</v>
      </c>
      <c r="F15">
        <f>IFERROR(BOM[[#This Row],[Qty]]*15,0)</f>
        <v>15</v>
      </c>
    </row>
    <row r="16" spans="1:6" x14ac:dyDescent="0.25">
      <c r="A16" t="s">
        <v>35</v>
      </c>
      <c r="B16" t="s">
        <v>36</v>
      </c>
      <c r="C16" s="1">
        <v>1</v>
      </c>
      <c r="D16" t="s">
        <v>11</v>
      </c>
      <c r="E16" t="s">
        <v>37</v>
      </c>
      <c r="F16">
        <f>IFERROR(BOM[[#This Row],[Qty]]*15,0)</f>
        <v>15</v>
      </c>
    </row>
    <row r="17" spans="1:6" x14ac:dyDescent="0.25">
      <c r="A17" t="s">
        <v>38</v>
      </c>
      <c r="B17" t="s">
        <v>39</v>
      </c>
      <c r="C17" s="1">
        <v>1</v>
      </c>
      <c r="D17" t="s">
        <v>11</v>
      </c>
      <c r="E17" t="s">
        <v>40</v>
      </c>
      <c r="F17">
        <f>IFERROR(BOM[[#This Row],[Qty]]*15,0)</f>
        <v>15</v>
      </c>
    </row>
    <row r="18" spans="1:6" x14ac:dyDescent="0.25">
      <c r="A18" t="s">
        <v>41</v>
      </c>
      <c r="B18" t="s">
        <v>42</v>
      </c>
      <c r="C18" s="1">
        <v>1</v>
      </c>
      <c r="D18" t="s">
        <v>11</v>
      </c>
      <c r="E18" t="s">
        <v>43</v>
      </c>
      <c r="F18">
        <f>IFERROR(BOM[[#This Row],[Qty]]*15,0)</f>
        <v>15</v>
      </c>
    </row>
    <row r="19" spans="1:6" x14ac:dyDescent="0.25">
      <c r="A19" t="s">
        <v>50</v>
      </c>
      <c r="B19" t="s">
        <v>144</v>
      </c>
      <c r="C19" s="1">
        <v>1</v>
      </c>
      <c r="D19" t="s">
        <v>11</v>
      </c>
      <c r="E19" t="s">
        <v>51</v>
      </c>
      <c r="F19">
        <f>IFERROR(BOM[[#This Row],[Qty]]*15,0)</f>
        <v>15</v>
      </c>
    </row>
    <row r="20" spans="1:6" x14ac:dyDescent="0.25">
      <c r="A20" t="s">
        <v>62</v>
      </c>
      <c r="B20" t="s">
        <v>63</v>
      </c>
      <c r="C20" s="1">
        <v>1</v>
      </c>
      <c r="D20" t="s">
        <v>11</v>
      </c>
      <c r="E20" t="s">
        <v>64</v>
      </c>
      <c r="F20">
        <f>IFERROR(BOM[[#This Row],[Qty]]*15,0)</f>
        <v>15</v>
      </c>
    </row>
    <row r="21" spans="1:6" x14ac:dyDescent="0.25">
      <c r="A21" t="s">
        <v>85</v>
      </c>
      <c r="B21" t="s">
        <v>86</v>
      </c>
      <c r="C21" s="1">
        <v>1</v>
      </c>
      <c r="D21" t="s">
        <v>11</v>
      </c>
      <c r="E21" t="s">
        <v>87</v>
      </c>
      <c r="F21">
        <f>IFERROR(BOM[[#This Row],[Qty]]*15,0)</f>
        <v>15</v>
      </c>
    </row>
    <row r="22" spans="1:6" x14ac:dyDescent="0.25">
      <c r="A22" t="s">
        <v>99</v>
      </c>
      <c r="B22" t="s">
        <v>100</v>
      </c>
      <c r="C22" s="1">
        <v>1</v>
      </c>
      <c r="D22" t="s">
        <v>11</v>
      </c>
      <c r="E22" t="s">
        <v>101</v>
      </c>
      <c r="F22">
        <f>IFERROR(BOM[[#This Row],[Qty]]*15,0)</f>
        <v>15</v>
      </c>
    </row>
    <row r="23" spans="1:6" x14ac:dyDescent="0.25">
      <c r="A23" t="s">
        <v>105</v>
      </c>
      <c r="B23" t="s">
        <v>106</v>
      </c>
      <c r="C23" s="1">
        <v>1</v>
      </c>
      <c r="D23" t="s">
        <v>11</v>
      </c>
      <c r="E23" t="s">
        <v>107</v>
      </c>
      <c r="F23">
        <f>IFERROR(BOM[[#This Row],[Qty]]*15,0)</f>
        <v>15</v>
      </c>
    </row>
    <row r="24" spans="1:6" x14ac:dyDescent="0.25">
      <c r="A24" t="s">
        <v>108</v>
      </c>
      <c r="B24" t="s">
        <v>109</v>
      </c>
      <c r="C24" s="1">
        <v>1</v>
      </c>
      <c r="D24" t="s">
        <v>11</v>
      </c>
      <c r="E24" t="s">
        <v>111</v>
      </c>
      <c r="F24">
        <f>IFERROR(BOM[[#This Row],[Qty]]*15,0)</f>
        <v>15</v>
      </c>
    </row>
    <row r="25" spans="1:6" x14ac:dyDescent="0.25">
      <c r="A25" t="s">
        <v>116</v>
      </c>
      <c r="B25" t="s">
        <v>117</v>
      </c>
      <c r="C25" s="1">
        <v>1</v>
      </c>
      <c r="D25" t="s">
        <v>11</v>
      </c>
      <c r="E25" t="s">
        <v>118</v>
      </c>
      <c r="F25">
        <f>IFERROR(BOM[[#This Row],[Qty]]*15,0)</f>
        <v>15</v>
      </c>
    </row>
    <row r="26" spans="1:6" x14ac:dyDescent="0.25">
      <c r="A26" t="s">
        <v>125</v>
      </c>
      <c r="B26" t="s">
        <v>128</v>
      </c>
      <c r="C26" s="1">
        <v>1</v>
      </c>
      <c r="D26" t="s">
        <v>11</v>
      </c>
      <c r="E26" t="s">
        <v>129</v>
      </c>
      <c r="F26">
        <f>IFERROR(BOM[[#This Row],[Qty]]*15,0)</f>
        <v>15</v>
      </c>
    </row>
    <row r="27" spans="1:6" x14ac:dyDescent="0.25">
      <c r="A27" t="s">
        <v>125</v>
      </c>
      <c r="B27" t="s">
        <v>130</v>
      </c>
      <c r="C27" s="1">
        <v>1</v>
      </c>
      <c r="D27" t="s">
        <v>11</v>
      </c>
      <c r="E27" t="s">
        <v>131</v>
      </c>
      <c r="F27">
        <f>IFERROR(BOM[[#This Row],[Qty]]*15,0)</f>
        <v>15</v>
      </c>
    </row>
    <row r="28" spans="1:6" x14ac:dyDescent="0.25">
      <c r="A28" t="s">
        <v>125</v>
      </c>
      <c r="B28" t="s">
        <v>132</v>
      </c>
      <c r="C28" s="1">
        <v>1</v>
      </c>
      <c r="D28" t="s">
        <v>11</v>
      </c>
      <c r="E28" t="s">
        <v>141</v>
      </c>
      <c r="F28">
        <f>IFERROR(BOM[[#This Row],[Qty]]*15,0)</f>
        <v>15</v>
      </c>
    </row>
    <row r="29" spans="1:6" x14ac:dyDescent="0.25">
      <c r="A29" t="s">
        <v>125</v>
      </c>
      <c r="B29" t="s">
        <v>133</v>
      </c>
      <c r="C29" s="1">
        <v>1</v>
      </c>
      <c r="D29" t="s">
        <v>11</v>
      </c>
      <c r="E29" t="s">
        <v>140</v>
      </c>
      <c r="F29">
        <f>IFERROR(BOM[[#This Row],[Qty]]*15,0)</f>
        <v>15</v>
      </c>
    </row>
    <row r="30" spans="1:6" x14ac:dyDescent="0.25">
      <c r="A30" t="s">
        <v>125</v>
      </c>
      <c r="B30" t="s">
        <v>134</v>
      </c>
      <c r="C30" s="1">
        <v>1</v>
      </c>
      <c r="D30" t="s">
        <v>11</v>
      </c>
      <c r="E30" t="s">
        <v>139</v>
      </c>
      <c r="F30">
        <f>IFERROR(BOM[[#This Row],[Qty]]*15,0)</f>
        <v>15</v>
      </c>
    </row>
    <row r="31" spans="1:6" x14ac:dyDescent="0.25">
      <c r="A31" t="s">
        <v>125</v>
      </c>
      <c r="B31" t="s">
        <v>135</v>
      </c>
      <c r="C31" s="1">
        <v>1</v>
      </c>
      <c r="D31" t="s">
        <v>11</v>
      </c>
      <c r="E31" t="s">
        <v>138</v>
      </c>
      <c r="F31">
        <f>IFERROR(BOM[[#This Row],[Qty]]*15,0)</f>
        <v>15</v>
      </c>
    </row>
    <row r="32" spans="1:6" x14ac:dyDescent="0.25">
      <c r="A32" t="s">
        <v>68</v>
      </c>
      <c r="B32" t="s">
        <v>69</v>
      </c>
      <c r="C32" s="1">
        <v>2</v>
      </c>
      <c r="D32" t="s">
        <v>27</v>
      </c>
      <c r="E32" t="s">
        <v>70</v>
      </c>
      <c r="F32">
        <f>IFERROR(BOM[[#This Row],[Qty]]*15,0)</f>
        <v>30</v>
      </c>
    </row>
    <row r="33" spans="1:6" x14ac:dyDescent="0.25">
      <c r="A33" t="s">
        <v>76</v>
      </c>
      <c r="B33" t="s">
        <v>77</v>
      </c>
      <c r="C33" s="1">
        <v>2</v>
      </c>
      <c r="D33" t="s">
        <v>27</v>
      </c>
      <c r="E33" t="s">
        <v>78</v>
      </c>
      <c r="F33">
        <f>IFERROR(BOM[[#This Row],[Qty]]*15,0)</f>
        <v>30</v>
      </c>
    </row>
    <row r="34" spans="1:6" x14ac:dyDescent="0.25">
      <c r="A34" t="s">
        <v>90</v>
      </c>
      <c r="B34" t="s">
        <v>91</v>
      </c>
      <c r="C34" s="1">
        <v>2</v>
      </c>
      <c r="D34" t="s">
        <v>27</v>
      </c>
      <c r="E34" t="s">
        <v>92</v>
      </c>
      <c r="F34">
        <f>IFERROR(BOM[[#This Row],[Qty]]*15,0)</f>
        <v>30</v>
      </c>
    </row>
    <row r="35" spans="1:6" x14ac:dyDescent="0.25">
      <c r="A35" t="s">
        <v>19</v>
      </c>
      <c r="B35" t="s">
        <v>20</v>
      </c>
      <c r="C35" s="1">
        <v>2</v>
      </c>
      <c r="D35" t="s">
        <v>7</v>
      </c>
      <c r="E35" t="s">
        <v>21</v>
      </c>
      <c r="F35">
        <f>IFERROR(BOM[[#This Row],[Qty]]*15,0)</f>
        <v>30</v>
      </c>
    </row>
    <row r="36" spans="1:6" x14ac:dyDescent="0.25">
      <c r="A36" t="s">
        <v>125</v>
      </c>
      <c r="B36" t="s">
        <v>126</v>
      </c>
      <c r="C36" s="1">
        <v>2</v>
      </c>
      <c r="D36" t="s">
        <v>11</v>
      </c>
      <c r="E36" t="s">
        <v>127</v>
      </c>
      <c r="F36">
        <f>IFERROR(BOM[[#This Row],[Qty]]*15,0)</f>
        <v>30</v>
      </c>
    </row>
    <row r="37" spans="1:6" x14ac:dyDescent="0.25">
      <c r="A37" t="s">
        <v>65</v>
      </c>
      <c r="B37" t="s">
        <v>66</v>
      </c>
      <c r="C37" s="1">
        <v>4</v>
      </c>
      <c r="D37" t="s">
        <v>27</v>
      </c>
      <c r="E37" t="s">
        <v>67</v>
      </c>
      <c r="F37">
        <f>IFERROR(BOM[[#This Row],[Qty]]*15,0)</f>
        <v>60</v>
      </c>
    </row>
    <row r="38" spans="1:6" x14ac:dyDescent="0.25">
      <c r="A38" t="s">
        <v>71</v>
      </c>
      <c r="B38" t="s">
        <v>149</v>
      </c>
      <c r="C38" s="1">
        <v>4</v>
      </c>
      <c r="D38" t="s">
        <v>27</v>
      </c>
      <c r="E38" t="s">
        <v>72</v>
      </c>
      <c r="F38">
        <f>IFERROR(BOM[[#This Row],[Qty]]*15,0)</f>
        <v>60</v>
      </c>
    </row>
    <row r="39" spans="1:6" x14ac:dyDescent="0.25">
      <c r="A39" t="s">
        <v>79</v>
      </c>
      <c r="B39" t="s">
        <v>80</v>
      </c>
      <c r="C39" s="1">
        <v>4</v>
      </c>
      <c r="D39" t="s">
        <v>27</v>
      </c>
      <c r="E39" t="s">
        <v>81</v>
      </c>
      <c r="F39">
        <f>IFERROR(BOM[[#This Row],[Qty]]*15,0)</f>
        <v>60</v>
      </c>
    </row>
    <row r="40" spans="1:6" x14ac:dyDescent="0.25">
      <c r="A40" t="s">
        <v>52</v>
      </c>
      <c r="B40" t="s">
        <v>53</v>
      </c>
      <c r="C40" s="1">
        <v>4</v>
      </c>
      <c r="D40" t="s">
        <v>7</v>
      </c>
      <c r="E40" t="s">
        <v>54</v>
      </c>
      <c r="F40">
        <f>IFERROR(BOM[[#This Row],[Qty]]*15,0)</f>
        <v>60</v>
      </c>
    </row>
    <row r="41" spans="1:6" x14ac:dyDescent="0.25">
      <c r="A41" t="s">
        <v>102</v>
      </c>
      <c r="B41" t="s">
        <v>103</v>
      </c>
      <c r="C41" s="1">
        <v>4</v>
      </c>
      <c r="D41" t="s">
        <v>7</v>
      </c>
      <c r="E41" t="s">
        <v>104</v>
      </c>
      <c r="F41">
        <f>IFERROR(BOM[[#This Row],[Qty]]*15,0)</f>
        <v>60</v>
      </c>
    </row>
    <row r="42" spans="1:6" x14ac:dyDescent="0.25">
      <c r="A42" t="s">
        <v>125</v>
      </c>
      <c r="B42" t="s">
        <v>136</v>
      </c>
      <c r="C42" s="1">
        <v>4</v>
      </c>
      <c r="D42" t="s">
        <v>11</v>
      </c>
      <c r="E42" t="s">
        <v>137</v>
      </c>
      <c r="F42">
        <f>IFERROR(BOM[[#This Row],[Qty]]*15,0)</f>
        <v>60</v>
      </c>
    </row>
    <row r="43" spans="1:6" x14ac:dyDescent="0.25">
      <c r="A43" t="s">
        <v>82</v>
      </c>
      <c r="B43" t="s">
        <v>83</v>
      </c>
      <c r="C43" s="1">
        <v>13</v>
      </c>
      <c r="D43" t="s">
        <v>27</v>
      </c>
      <c r="E43" t="s">
        <v>84</v>
      </c>
      <c r="F43">
        <f>IFERROR(BOM[[#This Row],[Qty]]*15,0)</f>
        <v>195</v>
      </c>
    </row>
    <row r="44" spans="1:6" x14ac:dyDescent="0.25">
      <c r="A44" t="s">
        <v>73</v>
      </c>
      <c r="B44" t="s">
        <v>74</v>
      </c>
      <c r="C44" s="1">
        <v>14</v>
      </c>
      <c r="D44" t="s">
        <v>27</v>
      </c>
      <c r="E44" t="s">
        <v>75</v>
      </c>
      <c r="F44">
        <f>IFERROR(BOM[[#This Row],[Qty]]*15,0)</f>
        <v>210</v>
      </c>
    </row>
    <row r="45" spans="1:6" x14ac:dyDescent="0.25">
      <c r="A45" t="s">
        <v>58</v>
      </c>
      <c r="B45" t="s">
        <v>59</v>
      </c>
      <c r="C45" s="1">
        <v>0</v>
      </c>
      <c r="D45" t="s">
        <v>27</v>
      </c>
      <c r="E45" t="s">
        <v>60</v>
      </c>
    </row>
    <row r="46" spans="1:6" x14ac:dyDescent="0.25">
      <c r="A46" t="s">
        <v>108</v>
      </c>
      <c r="B46" t="s">
        <v>109</v>
      </c>
      <c r="C46" s="1">
        <v>0</v>
      </c>
      <c r="D46" t="s">
        <v>7</v>
      </c>
      <c r="E46" t="s">
        <v>110</v>
      </c>
    </row>
    <row r="47" spans="1:6" x14ac:dyDescent="0.25">
      <c r="A47" t="s">
        <v>112</v>
      </c>
      <c r="B47" t="s">
        <v>113</v>
      </c>
      <c r="C47" s="1">
        <v>0</v>
      </c>
      <c r="D47" t="s">
        <v>11</v>
      </c>
      <c r="E47" t="s">
        <v>115</v>
      </c>
    </row>
    <row r="48" spans="1:6" x14ac:dyDescent="0.25">
      <c r="A48" t="s">
        <v>25</v>
      </c>
      <c r="B48" t="s">
        <v>26</v>
      </c>
      <c r="C48" s="1">
        <v>4</v>
      </c>
      <c r="D48" t="s">
        <v>27</v>
      </c>
      <c r="E48" t="s">
        <v>28</v>
      </c>
    </row>
    <row r="49" spans="1:5" x14ac:dyDescent="0.25">
      <c r="A49" t="s">
        <v>9</v>
      </c>
      <c r="B49" t="s">
        <v>10</v>
      </c>
      <c r="C49" s="1" t="s">
        <v>142</v>
      </c>
      <c r="D49" t="s">
        <v>11</v>
      </c>
      <c r="E49" t="s">
        <v>12</v>
      </c>
    </row>
    <row r="50" spans="1:5" x14ac:dyDescent="0.25">
      <c r="A50" t="s">
        <v>13</v>
      </c>
      <c r="B50" t="s">
        <v>14</v>
      </c>
      <c r="C50" s="1">
        <v>1</v>
      </c>
      <c r="D50" t="s">
        <v>11</v>
      </c>
      <c r="E50" t="s">
        <v>15</v>
      </c>
    </row>
    <row r="51" spans="1:5" x14ac:dyDescent="0.25">
      <c r="A51" t="s">
        <v>22</v>
      </c>
      <c r="B51" t="s">
        <v>23</v>
      </c>
      <c r="C51" s="1">
        <v>1</v>
      </c>
      <c r="D51" t="s">
        <v>11</v>
      </c>
      <c r="E51" t="s">
        <v>24</v>
      </c>
    </row>
  </sheetData>
  <phoneticPr fontId="1" type="noConversion"/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FFFA2-1710-4F0F-A6AC-B2F0600B20DE}">
  <dimension ref="A1:I20"/>
  <sheetViews>
    <sheetView view="pageLayout" zoomScaleNormal="100" workbookViewId="0">
      <selection activeCell="F16" sqref="F16"/>
    </sheetView>
  </sheetViews>
  <sheetFormatPr defaultColWidth="9.140625" defaultRowHeight="15" x14ac:dyDescent="0.25"/>
  <cols>
    <col min="1" max="2" width="14.28515625" style="2" customWidth="1"/>
    <col min="3" max="3" width="15" style="2" customWidth="1"/>
    <col min="4" max="5" width="14.28515625" style="2" customWidth="1"/>
    <col min="6" max="6" width="15" style="2" customWidth="1"/>
    <col min="7" max="8" width="14.28515625" style="2" customWidth="1"/>
    <col min="9" max="9" width="15" style="2" customWidth="1"/>
    <col min="10" max="16384" width="9.140625" style="2"/>
  </cols>
  <sheetData>
    <row r="1" spans="1:9" ht="27.75" customHeight="1" x14ac:dyDescent="0.25">
      <c r="A1" s="9" t="str">
        <f>BOM!A18</f>
        <v>J401</v>
      </c>
      <c r="B1" s="10"/>
      <c r="C1" s="7" t="str">
        <f>BOM!B18</f>
        <v>Conn_01x04_Socket</v>
      </c>
      <c r="D1" s="9" t="str">
        <f>BOM!A19</f>
        <v>L410</v>
      </c>
      <c r="E1" s="10"/>
      <c r="F1" s="7" t="str">
        <f>BOM!B19</f>
        <v>Ferrite_Small</v>
      </c>
      <c r="G1" s="9" t="str">
        <f>BOM!A20</f>
        <v>R000</v>
      </c>
      <c r="H1" s="10"/>
      <c r="I1" s="7" t="str">
        <f>BOM!B20</f>
        <v>0R20</v>
      </c>
    </row>
    <row r="2" spans="1:9" ht="20.25" customHeight="1" thickBot="1" x14ac:dyDescent="0.3">
      <c r="A2" s="4" t="str">
        <f>BOM!D18</f>
        <v>RS</v>
      </c>
      <c r="B2" s="5" t="str">
        <f>BOM!E18</f>
        <v>233-9354</v>
      </c>
      <c r="C2" s="8"/>
      <c r="D2" s="4" t="str">
        <f>BOM!D19</f>
        <v>RS</v>
      </c>
      <c r="E2" s="5" t="str">
        <f>BOM!E19</f>
        <v>467-3315</v>
      </c>
      <c r="F2" s="8"/>
      <c r="G2" s="4" t="str">
        <f>BOM!D20</f>
        <v>RS</v>
      </c>
      <c r="H2" s="5" t="str">
        <f>BOM!E20</f>
        <v>846-9836</v>
      </c>
      <c r="I2" s="8"/>
    </row>
    <row r="3" spans="1:9" ht="27.75" customHeight="1" x14ac:dyDescent="0.25">
      <c r="A3" s="9" t="str">
        <f>BOM!A22</f>
        <v>SW310</v>
      </c>
      <c r="B3" s="10"/>
      <c r="C3" s="7" t="str">
        <f>BOM!B22</f>
        <v>RotaryEncoder_Switch_MP</v>
      </c>
      <c r="D3" s="9" t="str">
        <f>BOM!A23</f>
        <v>U300</v>
      </c>
      <c r="E3" s="10"/>
      <c r="F3" s="7" t="str">
        <f>BOM!B23</f>
        <v>74AHC595</v>
      </c>
      <c r="G3" s="9" t="str">
        <f>BOM!A25</f>
        <v>U900</v>
      </c>
      <c r="H3" s="10"/>
      <c r="I3" s="7" t="str">
        <f>BOM!B51</f>
        <v>10nF</v>
      </c>
    </row>
    <row r="4" spans="1:9" ht="20.25" customHeight="1" thickBot="1" x14ac:dyDescent="0.3">
      <c r="A4" s="4" t="str">
        <f>BOM!D22</f>
        <v>RS</v>
      </c>
      <c r="B4" s="5" t="str">
        <f>BOM!E22</f>
        <v>781-6830</v>
      </c>
      <c r="C4" s="8"/>
      <c r="D4" s="4" t="str">
        <f>BOM!D23</f>
        <v>RS</v>
      </c>
      <c r="E4" s="5" t="str">
        <f>BOM!E23</f>
        <v>100-0763</v>
      </c>
      <c r="F4" s="8"/>
      <c r="G4" s="4" t="str">
        <f>BOM!D51</f>
        <v>RS</v>
      </c>
      <c r="H4" s="5" t="str">
        <f>BOM!E51</f>
        <v>134-5708</v>
      </c>
      <c r="I4" s="8"/>
    </row>
    <row r="5" spans="1:9" ht="27.75" customHeight="1" x14ac:dyDescent="0.25">
      <c r="A5" s="9" t="str">
        <f>BOM!A26</f>
        <v/>
      </c>
      <c r="B5" s="10"/>
      <c r="C5" s="7" t="str">
        <f>BOM!B47</f>
        <v>MCP2221AxP</v>
      </c>
      <c r="D5" s="9" t="s">
        <v>122</v>
      </c>
      <c r="E5" s="10"/>
      <c r="F5" s="7" t="str">
        <f>BOM!B50</f>
        <v>470nF</v>
      </c>
      <c r="G5" s="9" t="str">
        <f>BOM!A27</f>
        <v/>
      </c>
      <c r="H5" s="10"/>
      <c r="I5" s="7" t="str">
        <f>BOM!B49</f>
        <v>100nF</v>
      </c>
    </row>
    <row r="6" spans="1:9" ht="20.25" customHeight="1" thickBot="1" x14ac:dyDescent="0.3">
      <c r="A6" s="4" t="str">
        <f>BOM!D47</f>
        <v>RS</v>
      </c>
      <c r="B6" s="5" t="str">
        <f>BOM!E47</f>
        <v>171-7757</v>
      </c>
      <c r="C6" s="8"/>
      <c r="D6" s="4" t="str">
        <f>BOM!D50</f>
        <v>RS</v>
      </c>
      <c r="E6" s="5" t="str">
        <f>BOM!E50</f>
        <v>172-5820</v>
      </c>
      <c r="F6" s="8"/>
      <c r="G6" s="4" t="str">
        <f>BOM!D49</f>
        <v>RS</v>
      </c>
      <c r="H6" s="5" t="str">
        <f>BOM!E49</f>
        <v>135-8304</v>
      </c>
      <c r="I6" s="8"/>
    </row>
    <row r="7" spans="1:9" ht="27.75" customHeight="1" x14ac:dyDescent="0.25">
      <c r="A7" s="9" t="str">
        <f>BOM!A39</f>
        <v>R210,R220,R230,R240</v>
      </c>
      <c r="B7" s="10"/>
      <c r="C7" s="7" t="str">
        <f>BOM!B48</f>
        <v>1N4148</v>
      </c>
      <c r="D7" s="9" t="str">
        <f>BOM!A42</f>
        <v/>
      </c>
      <c r="E7" s="10"/>
      <c r="F7" s="7" t="str">
        <f>BOM!B42</f>
        <v>Dil socket 6 pin</v>
      </c>
      <c r="G7" s="9" t="str">
        <f>BOM!A43</f>
        <v>R211,R221,R231,R241,R251,R300,R310,R311,R312,R400,R401,R402,R410</v>
      </c>
      <c r="H7" s="10"/>
      <c r="I7" s="7" t="str">
        <f>BOM!B43</f>
        <v>10k</v>
      </c>
    </row>
    <row r="8" spans="1:9" ht="20.25" customHeight="1" thickBot="1" x14ac:dyDescent="0.3">
      <c r="A8" s="4" t="str">
        <f>BOM!D48</f>
        <v>Cypax</v>
      </c>
      <c r="B8" s="5" t="str">
        <f>BOM!E48</f>
        <v>00.001.4148</v>
      </c>
      <c r="C8" s="8"/>
      <c r="D8" s="4" t="str">
        <f>BOM!D42</f>
        <v>RS</v>
      </c>
      <c r="E8" s="5" t="str">
        <f>BOM!E42</f>
        <v>702-0657</v>
      </c>
      <c r="F8" s="8"/>
      <c r="G8" s="4" t="str">
        <f>BOM!D43</f>
        <v>Cypax</v>
      </c>
      <c r="H8" s="5" t="str">
        <f>BOM!E43</f>
        <v xml:space="preserve">05.000.0510 </v>
      </c>
      <c r="I8" s="8"/>
    </row>
    <row r="9" spans="1:9" ht="27.75" customHeight="1" x14ac:dyDescent="0.25">
      <c r="A9" s="11" t="str">
        <f>BOM!A35</f>
        <v>C901,C902</v>
      </c>
      <c r="B9" s="12"/>
      <c r="C9" s="7" t="s">
        <v>147</v>
      </c>
      <c r="D9" s="11" t="str">
        <f>BOM!A38</f>
        <v>R112,R122,R132,R142</v>
      </c>
      <c r="E9" s="12"/>
      <c r="F9" s="7" t="s">
        <v>148</v>
      </c>
      <c r="G9" s="9" t="str">
        <f>BOM!B46</f>
        <v>PIC18F27Q43-xSP</v>
      </c>
      <c r="H9" s="10"/>
      <c r="I9" s="13"/>
    </row>
    <row r="10" spans="1:9" ht="20.25" customHeight="1" thickBot="1" x14ac:dyDescent="0.3">
      <c r="A10" s="4" t="str">
        <f>BOM!D34</f>
        <v>Cypax</v>
      </c>
      <c r="B10" s="5" t="str">
        <f>BOM!E34</f>
        <v>05.000.0433</v>
      </c>
      <c r="C10" s="8"/>
      <c r="D10" s="4" t="str">
        <f>BOM!D38</f>
        <v>Cypax</v>
      </c>
      <c r="E10" s="5" t="str">
        <f>BOM!E38</f>
        <v>05.000.0315</v>
      </c>
      <c r="F10" s="8"/>
      <c r="G10" s="4" t="str">
        <f>BOM!D46</f>
        <v>Farnell</v>
      </c>
      <c r="H10" s="5" t="str">
        <f>BOM!E46</f>
        <v>3052751</v>
      </c>
      <c r="I10" s="6"/>
    </row>
    <row r="11" spans="1:9" ht="27.75" customHeight="1" x14ac:dyDescent="0.25">
      <c r="A11" s="9" t="str">
        <f>BOM!B32</f>
        <v>47k</v>
      </c>
      <c r="B11" s="10"/>
      <c r="C11" s="13"/>
      <c r="D11" s="9" t="str">
        <f>BOM!A33</f>
        <v>R131,R141</v>
      </c>
      <c r="E11" s="10"/>
      <c r="F11" s="14" t="s">
        <v>145</v>
      </c>
      <c r="G11" s="9" t="str">
        <f>BOM!A34</f>
        <v>R900,R903</v>
      </c>
      <c r="H11" s="10"/>
      <c r="I11" s="14" t="s">
        <v>146</v>
      </c>
    </row>
    <row r="12" spans="1:9" ht="20.25" customHeight="1" thickBot="1" x14ac:dyDescent="0.3">
      <c r="A12" s="4" t="str">
        <f>BOM!D32</f>
        <v>Cypax</v>
      </c>
      <c r="B12" s="5" t="str">
        <f>BOM!E32</f>
        <v>05.000.0547</v>
      </c>
      <c r="C12" s="6"/>
      <c r="D12" s="4" t="str">
        <f>BOM!D33</f>
        <v>Cypax</v>
      </c>
      <c r="E12" s="5" t="str">
        <f>BOM!E33</f>
        <v>05.000.0627</v>
      </c>
      <c r="F12" s="15"/>
      <c r="G12" s="4" t="str">
        <f>BOM!D34</f>
        <v>Cypax</v>
      </c>
      <c r="H12" s="5" t="str">
        <f>BOM!E34</f>
        <v>05.000.0433</v>
      </c>
      <c r="I12" s="15"/>
    </row>
    <row r="19" spans="9:9" ht="15.75" thickBot="1" x14ac:dyDescent="0.3"/>
    <row r="20" spans="9:9" ht="15.75" thickBot="1" x14ac:dyDescent="0.3">
      <c r="I20" s="3"/>
    </row>
  </sheetData>
  <mergeCells count="34">
    <mergeCell ref="D7:E7"/>
    <mergeCell ref="F7:F8"/>
    <mergeCell ref="G7:H7"/>
    <mergeCell ref="I7:I8"/>
    <mergeCell ref="G9:I9"/>
    <mergeCell ref="F11:F12"/>
    <mergeCell ref="I11:I12"/>
    <mergeCell ref="F9:F10"/>
    <mergeCell ref="D9:E9"/>
    <mergeCell ref="G11:H11"/>
    <mergeCell ref="D11:E11"/>
    <mergeCell ref="A7:B7"/>
    <mergeCell ref="C7:C8"/>
    <mergeCell ref="A9:B9"/>
    <mergeCell ref="C9:C10"/>
    <mergeCell ref="A11:C11"/>
    <mergeCell ref="I5:I6"/>
    <mergeCell ref="A3:B3"/>
    <mergeCell ref="C3:C4"/>
    <mergeCell ref="D3:E3"/>
    <mergeCell ref="F3:F4"/>
    <mergeCell ref="G3:H3"/>
    <mergeCell ref="I3:I4"/>
    <mergeCell ref="A5:B5"/>
    <mergeCell ref="C5:C6"/>
    <mergeCell ref="D5:E5"/>
    <mergeCell ref="F5:F6"/>
    <mergeCell ref="G5:H5"/>
    <mergeCell ref="I1:I2"/>
    <mergeCell ref="A1:B1"/>
    <mergeCell ref="C1:C2"/>
    <mergeCell ref="D1:E1"/>
    <mergeCell ref="F1:F2"/>
    <mergeCell ref="G1:H1"/>
  </mergeCells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5DDAF6-A9E9-49FA-BA03-A277501FC6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Morten Trier Taasti Bejstrup</dc:creator>
  <cp:lastModifiedBy>Morten Trier Taasti Bejstrup</cp:lastModifiedBy>
  <cp:lastPrinted>2026-01-08T08:56:01Z</cp:lastPrinted>
  <dcterms:created xsi:type="dcterms:W3CDTF">2025-11-25T09:32:04Z</dcterms:created>
  <dcterms:modified xsi:type="dcterms:W3CDTF">2026-01-08T08:57:03Z</dcterms:modified>
</cp:coreProperties>
</file>